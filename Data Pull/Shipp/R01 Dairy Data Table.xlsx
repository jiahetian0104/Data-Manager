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Z:\ECHO\CHARM\Data\Data Pulls\Shipp\"/>
    </mc:Choice>
  </mc:AlternateContent>
  <xr:revisionPtr revIDLastSave="0" documentId="13_ncr:1_{D1F4D2BB-7FC3-459B-9BDB-B5E80F70264D}" xr6:coauthVersionLast="47" xr6:coauthVersionMax="47" xr10:uidLastSave="{00000000-0000-0000-0000-000000000000}"/>
  <bookViews>
    <workbookView xWindow="-9520" yWindow="-21710" windowWidth="38620" windowHeight="21100" xr2:uid="{95CC1F47-BD34-4B62-B12F-8961E3FDFA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 l="1"/>
  <c r="I23" i="1"/>
  <c r="G23" i="1"/>
  <c r="D23" i="1"/>
  <c r="F23" i="1"/>
  <c r="E23" i="1"/>
  <c r="B23" i="1"/>
  <c r="I7" i="1"/>
  <c r="H7" i="1"/>
  <c r="G7" i="1"/>
  <c r="F7" i="1" l="1"/>
  <c r="D7" i="1"/>
  <c r="C7" i="1"/>
  <c r="B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tc={1CEE6BEB-192A-4EAE-B947-E24DF6513336}</author>
    <author>tc={38C96A09-CB72-410F-801A-CBC8D1EEE6E3}</author>
    <author>tc={E076E611-F355-4D2A-8B7E-63779CF3FFC1}</author>
    <author>tc={0EA50559-DB7D-4443-91AF-DA920F061A62}</author>
    <author>tc={FEC9705A-B1FE-44B6-ABD9-4E7362A7C5F4}</author>
    <author>tc={494CDFA6-15AB-48E0-9969-E6EC47319F12}</author>
    <author>tc={C613ACB4-9957-4DDF-8DA8-B3676B8FF9E2}</author>
    <author>tc={0D3E6A17-DBA6-4FF1-8FCF-F84CCD46D39F}</author>
    <author>tc={E59D4C7A-76E0-4993-A8F0-637AF72864CD}</author>
    <author>tc={DFBC122D-8557-471F-8C33-6238CE9BCAE0}</author>
    <author>tc={8FF1FB42-C2E3-4767-935C-D6F632B03A1B}</author>
    <author>tc={A4E66B24-FB40-4B68-866B-3874C2694E70}</author>
    <author>tc={A22430E8-B365-44BE-AD2D-CE2662E46D7B}</author>
    <author>tc={A5676646-72F4-4323-8F4E-4872EC7300CD}</author>
    <author>tc={7ECA516E-E107-460D-96A9-37B07C3C5DF2}</author>
    <author>tc={77757546-F116-4ED7-A517-EB6E7762880D}</author>
    <author>tc={0AC09688-1F08-4CA7-ADAF-AA851ED945D0}</author>
    <author>tc={A12B2FDE-2EB7-49B1-BA14-9AE486A95E3A}</author>
    <author>tc={26CDEA20-9475-4ED3-A0A4-54D3FD1BE19C}</author>
  </authors>
  <commentList>
    <comment ref="F2" authorId="0" shapeId="0" xr:uid="{1CEE6BEB-192A-4EAE-B947-E24DF6513336}">
      <text>
        <t>[Threaded comment]
Your version of Excel allows you to read this threaded comment; however, any edits to it will get removed if the file is opened in a newer version of Excel. Learn more: https://go.microsoft.com/fwlink/?linkid=870924
Comment:
    An iodine or urine sample + prenatal diet must be available as criteria</t>
      </text>
    </comment>
    <comment ref="B3" authorId="1" shapeId="0" xr:uid="{38C96A09-CB72-410F-801A-CBC8D1EEE6E3}">
      <text>
        <t>[Threaded comment]
Your version of Excel allows you to read this threaded comment; however, any edits to it will get removed if the file is opened in a newer version of Excel. Learn more: https://go.microsoft.com/fwlink/?linkid=870924
Comment:
    Includes both DSQ and PhenX</t>
      </text>
    </comment>
    <comment ref="E3" authorId="2" shapeId="0" xr:uid="{E076E611-F355-4D2A-8B7E-63779CF3FFC1}">
      <text>
        <t>[Threaded comment]
Your version of Excel allows you to read this threaded comment; however, any edits to it will get removed if the file is opened in a newer version of Excel. Learn more: https://go.microsoft.com/fwlink/?linkid=870924
Comment:
    Only those participants who do not have an Iodine measurement.</t>
      </text>
    </comment>
    <comment ref="F3" authorId="3" shapeId="0" xr:uid="{0EA50559-DB7D-4443-91AF-DA920F061A62}">
      <text>
        <t xml:space="preserve">[Threaded comment]
Your version of Excel allows you to read this threaded comment; however, any edits to it will get removed if the file is opened in a newer version of Excel. Learn more: https://go.microsoft.com/fwlink/?linkid=870924
Comment:
    Includes both NIH Toolbox Early Childhood and NIH Toolbox.
Reply:
    Look in ECHO 2 for additional participants. </t>
      </text>
    </comment>
    <comment ref="H3" authorId="4" shapeId="0" xr:uid="{FEC9705A-B1FE-44B6-ABD9-4E7362A7C5F4}">
      <text>
        <t>[Threaded comment]
Your version of Excel allows you to read this threaded comment; however, any edits to it will get removed if the file is opened in a newer version of Excel. Learn more: https://go.microsoft.com/fwlink/?linkid=870924
Comment:
    Can have either SRS2 Preschool or School age</t>
      </text>
    </comment>
    <comment ref="J3" authorId="5" shapeId="0" xr:uid="{494CDFA6-15AB-48E0-9969-E6EC47319F12}">
      <text>
        <t>[Threaded comment]
Your version of Excel allows you to read this threaded comment; however, any edits to it will get removed if the file is opened in a newer version of Excel. Learn more: https://go.microsoft.com/fwlink/?linkid=870924
Comment:
    Breakdown into different visits</t>
      </text>
    </comment>
    <comment ref="C6" authorId="6" shapeId="0" xr:uid="{C613ACB4-9957-4DDF-8DA8-B3676B8FF9E2}">
      <text>
        <t>[Threaded comment]
Your version of Excel allows you to read this threaded comment; however, any edits to it will get removed if the file is opened in a newer version of Excel. Learn more: https://go.microsoft.com/fwlink/?linkid=870924
Comment:
    ARCH id &lt; 1407 have Thyroid data, ARCH &gt; 1476 have diet data</t>
      </text>
    </comment>
    <comment ref="E6" authorId="7" shapeId="0" xr:uid="{0D3E6A17-DBA6-4FF1-8FCF-F84CCD46D39F}">
      <text>
        <t>[Threaded comment]
Your version of Excel allows you to read this threaded comment; however, any edits to it will get removed if the file is opened in a newer version of Excel. Learn more: https://go.microsoft.com/fwlink/?linkid=870924
Comment:
    It will be 5 using new list</t>
      </text>
    </comment>
    <comment ref="F6" authorId="8" shapeId="0" xr:uid="{E59D4C7A-76E0-4993-A8F0-637AF72864CD}">
      <text>
        <t>[Threaded comment]
Your version of Excel allows you to read this threaded comment; however, any edits to it will get removed if the file is opened in a newer version of Excel. Learn more: https://go.microsoft.com/fwlink/?linkid=870924
Comment:
    From ECHO 2</t>
      </text>
    </comment>
    <comment ref="J6" authorId="9" shapeId="0" xr:uid="{DFBC122D-8557-471F-8C33-6238CE9BCAE0}">
      <text>
        <t>[Threaded comment]
Your version of Excel allows you to read this threaded comment; however, any edits to it will get removed if the file is opened in a newer version of Excel. Learn more: https://go.microsoft.com/fwlink/?linkid=870924
Comment:
    There are only asq48 and asq 54 for ARCH. There are around 4 participants in the survey answers</t>
      </text>
    </comment>
    <comment ref="I12" authorId="10" shapeId="0" xr:uid="{8FF1FB42-C2E3-4767-935C-D6F632B03A1B}">
      <text>
        <t>[Threaded comment]
Your version of Excel allows you to read this threaded comment; however, any edits to it will get removed if the file is opened in a newer version of Excel. Learn more: https://go.microsoft.com/fwlink/?linkid=870924
Comment:
    Not unique from Prenatal DSQ</t>
      </text>
    </comment>
    <comment ref="I14" authorId="11" shapeId="0" xr:uid="{A4E66B24-FB40-4B68-866B-3874C2694E70}">
      <text>
        <t>[Threaded comment]
Your version of Excel allows you to read this threaded comment; however, any edits to it will get removed if the file is opened in a newer version of Excel. Learn more: https://go.microsoft.com/fwlink/?linkid=870924
Comment:
    Concern about ASA ID</t>
      </text>
    </comment>
    <comment ref="B19" authorId="12" shapeId="0" xr:uid="{A22430E8-B365-44BE-AD2D-CE2662E46D7B}">
      <text>
        <t xml:space="preserve">[Threaded comment]
Your version of Excel allows you to read this threaded comment; however, any edits to it will get removed if the file is opened in a newer version of Excel. Learn more: https://go.microsoft.com/fwlink/?linkid=870924
Comment:
    Includes both DSQ and PhenX. Other elements for this aim do not need prenatal dairy intake to be eligible. </t>
      </text>
    </comment>
    <comment ref="C19" authorId="13" shapeId="0" xr:uid="{A5676646-72F4-4323-8F4E-4872EC7300CD}">
      <text>
        <t>[Threaded comment]
Your version of Excel allows you to read this threaded comment; however, any edits to it will get removed if the file is opened in a newer version of Excel. Learn more: https://go.microsoft.com/fwlink/?linkid=870924
Comment:
    Include dairy formula</t>
      </text>
    </comment>
    <comment ref="E19" authorId="14" shapeId="0" xr:uid="{7ECA516E-E107-460D-96A9-37B07C3C5DF2}">
      <text>
        <t>[Threaded comment]
Your version of Excel allows you to read this threaded comment; however, any edits to it will get removed if the file is opened in a newer version of Excel. Learn more: https://go.microsoft.com/fwlink/?linkid=870924
Comment:
    Look in ECHO 2 data for additional participants.
Reply:
    BLOCK 1 survey was used</t>
      </text>
    </comment>
    <comment ref="F19" authorId="15" shapeId="0" xr:uid="{77757546-F116-4ED7-A517-EB6E7762880D}">
      <text>
        <t xml:space="preserve">[Threaded comment]
Your version of Excel allows you to read this threaded comment; however, any edits to it will get removed if the file is opened in a newer version of Excel. Learn more: https://go.microsoft.com/fwlink/?linkid=870924
Comment:
    Includes both NIH Toolbox Early Childhood and NIH Toolbox.
Reply:
    Look in ECHO 2 for additional participants. </t>
      </text>
    </comment>
    <comment ref="J19" authorId="16" shapeId="0" xr:uid="{0AC09688-1F08-4CA7-ADAF-AA851ED945D0}">
      <text>
        <t>[Threaded comment]
Your version of Excel allows you to read this threaded comment; however, any edits to it will get removed if the file is opened in a newer version of Excel. Learn more: https://go.microsoft.com/fwlink/?linkid=870924
Comment:
    Breakdown into different ages</t>
      </text>
    </comment>
    <comment ref="C22" authorId="17" shapeId="0" xr:uid="{A12B2FDE-2EB7-49B1-BA14-9AE486A95E3A}">
      <text>
        <t>[Threaded comment]
Your version of Excel allows you to read this threaded comment; however, any edits to it will get removed if the file is opened in a newer version of Excel. Learn more: https://go.microsoft.com/fwlink/?linkid=870924
Comment:
    ARCH won’t have this element</t>
      </text>
    </comment>
    <comment ref="D22" authorId="18" shapeId="0" xr:uid="{26CDEA20-9475-4ED3-A0A4-54D3FD1BE19C}">
      <text>
        <t>[Threaded comment]
Your version of Excel allows you to read this threaded comment; however, any edits to it will get removed if the file is opened in a newer version of Excel. Learn more: https://go.microsoft.com/fwlink/?linkid=870924
Comment:
    ARCH won’t have this element</t>
      </text>
    </comment>
  </commentList>
</comments>
</file>

<file path=xl/sharedStrings.xml><?xml version="1.0" encoding="utf-8"?>
<sst xmlns="http://schemas.openxmlformats.org/spreadsheetml/2006/main" count="70" uniqueCount="34">
  <si>
    <t>Aim 1:</t>
  </si>
  <si>
    <t>MARCH</t>
  </si>
  <si>
    <t>ARCH</t>
  </si>
  <si>
    <t>Total</t>
  </si>
  <si>
    <t>Aim 2:</t>
  </si>
  <si>
    <t>Aim 3:</t>
  </si>
  <si>
    <t>Thyroid</t>
  </si>
  <si>
    <t>Iodine</t>
  </si>
  <si>
    <t>NIH Toolbox</t>
  </si>
  <si>
    <t>CBCL</t>
  </si>
  <si>
    <t>SRS2</t>
  </si>
  <si>
    <t>Bioassays</t>
  </si>
  <si>
    <t>Describe a causal pathway between mom's dairy intake and iodine status during pregnancy, thyroid hormone levels (mom and baby), and measures of child brain development at age 4 years. We think higher dairy intake during pregnancy will improve iodine status, thyroid levels, and brain development, even after accounting for other important variables.</t>
  </si>
  <si>
    <t>ASA24</t>
  </si>
  <si>
    <t>Prenatal DSQ</t>
  </si>
  <si>
    <t>Count</t>
  </si>
  <si>
    <t>Ages &amp; Stages</t>
  </si>
  <si>
    <t>Determine if the fat intake of mom's dairy intake modifies associations between dairy consumption and child brain development. We think the positive association will be stronger with full-fat dairy products because some fatty acids are good for brain development.</t>
  </si>
  <si>
    <t>Prenatal Dairy</t>
  </si>
  <si>
    <t>Infant feeding practices</t>
  </si>
  <si>
    <t>Complimentary Feeding History</t>
  </si>
  <si>
    <t>BLOCK</t>
  </si>
  <si>
    <t>Childhood Dairy</t>
  </si>
  <si>
    <t>Prenatal Diet</t>
  </si>
  <si>
    <t>Assess whether child dietary or supplemental sources of iodine, an essential mineral, and other dairy-related nutrients (e.g., calcium, vitamin B12) can make up for low pregnancy
dairy intake in relation to child brain development. We think that children whose mom's had low dairy intake during pregnancy will have better brain development if the children get enough dairy during childhood while their brains are still developing.</t>
  </si>
  <si>
    <t>Childhood Outcomes</t>
  </si>
  <si>
    <t>CBCL_Pre</t>
  </si>
  <si>
    <t>NA</t>
  </si>
  <si>
    <t>SRS2_pre</t>
  </si>
  <si>
    <t>SRS2_sch</t>
  </si>
  <si>
    <t>9/10/12 Month</t>
  </si>
  <si>
    <t xml:space="preserve">36 Month </t>
  </si>
  <si>
    <t>Urine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</si>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</sst>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9"/>
      <color indexed="81"/>
      <name val="Tahoma"/>
      <charset val="1"/>
    </font>
  </fonts>
  <fills count="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wrapText="1"/>
    </xf>
    <xf numFmtId="0" fontId="0" fillId="0" borderId="0" xfId="0" applyAlignment="1">
      <alignment horizontal="center" wrapText="1"/>
    </xf>
    <xf numFmtId="0" fontId="0" fillId="0" borderId="1" xfId="0" applyBorder="1"/>
    <xf numFmtId="0" fontId="0" fillId="0" borderId="1" xfId="0" applyBorder="1" applyAlignment="1">
      <alignment vertical="center"/>
    </xf>
    <xf numFmtId="0" fontId="1" fillId="0" borderId="0" xfId="0" applyFont="1"/>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0" fontId="1" fillId="0" borderId="3" xfId="0" applyFont="1" applyFill="1" applyBorder="1" applyAlignment="1"/>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wrapText="1"/>
    </xf>
    <xf numFmtId="0" fontId="1" fillId="4"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xf>
    <xf numFmtId="0" fontId="0" fillId="3" borderId="1" xfId="0" applyFill="1" applyBorder="1" applyAlignment="1">
      <alignment horizontal="center" vertical="center" wrapText="1"/>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5" xfId="0" applyFill="1" applyBorder="1" applyAlignment="1">
      <alignment horizontal="center" vertical="center"/>
    </xf>
    <xf numFmtId="0" fontId="0" fillId="0" borderId="7" xfId="0" applyFill="1" applyBorder="1" applyAlignment="1">
      <alignment horizontal="center" vertical="center"/>
    </xf>
    <xf numFmtId="0" fontId="0" fillId="2" borderId="4" xfId="0" applyFill="1" applyBorder="1" applyAlignment="1">
      <alignment horizontal="center" vertical="center" wrapText="1"/>
    </xf>
    <xf numFmtId="0" fontId="0" fillId="2" borderId="2" xfId="0" applyFill="1" applyBorder="1" applyAlignment="1">
      <alignment horizontal="center" vertical="center" wrapText="1"/>
    </xf>
    <xf numFmtId="0" fontId="0" fillId="4" borderId="1" xfId="0" applyFill="1" applyBorder="1" applyAlignment="1">
      <alignment horizontal="center" vertical="center" wrapText="1"/>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0" fillId="4" borderId="4" xfId="0" applyFill="1" applyBorder="1" applyAlignment="1">
      <alignment horizontal="center" vertical="center" wrapText="1"/>
    </xf>
    <xf numFmtId="0" fontId="0" fillId="4" borderId="2" xfId="0"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left" wrapText="1"/>
    </xf>
    <xf numFmtId="0" fontId="0" fillId="0" borderId="4" xfId="0" applyBorder="1" applyAlignment="1">
      <alignment horizontal="left" wrapText="1"/>
    </xf>
    <xf numFmtId="0" fontId="0" fillId="0" borderId="1" xfId="0" applyFill="1" applyBorder="1" applyAlignment="1">
      <alignment horizontal="center" vertical="center"/>
    </xf>
    <xf numFmtId="0" fontId="1" fillId="2" borderId="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0" fillId="5"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rew, Alexa" id="{335C1F3F-6059-4007-9F3C-D68689AD5CA5}" userId="S::krueg120@msu.edu::2a1e940c-a972-4e1b-b186-44cfa60dec39" providerId="AD"/>
  <person displayName="Tian, Jiahe" id="{F920A05B-C1A2-4A0A-8DA0-5FD516ED8EE3}" userId="S::tianjiah@msu.edu::9b248cb4-e481-44ff-b1b0-af8a80db89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 dT="2025-12-19T18:57:38.94" personId="{335C1F3F-6059-4007-9F3C-D68689AD5CA5}" id="{1CEE6BEB-192A-4EAE-B947-E24DF6513336}">
    <text>An iodine or urine sample + prenatal diet must be available as criteria</text>
  </threadedComment>
  <threadedComment ref="B3" dT="2025-12-19T18:22:35.27" personId="{335C1F3F-6059-4007-9F3C-D68689AD5CA5}" id="{38C96A09-CB72-410F-801A-CBC8D1EEE6E3}">
    <text>Includes both DSQ and PhenX</text>
  </threadedComment>
  <threadedComment ref="E3" dT="2025-12-19T18:23:51.17" personId="{335C1F3F-6059-4007-9F3C-D68689AD5CA5}" id="{E076E611-F355-4D2A-8B7E-63779CF3FFC1}">
    <text>Only those participants who do not have an Iodine measurement.</text>
  </threadedComment>
  <threadedComment ref="F3" dT="2025-12-19T18:24:54.45" personId="{335C1F3F-6059-4007-9F3C-D68689AD5CA5}" id="{0EA50559-DB7D-4443-91AF-DA920F061A62}">
    <text>Includes both NIH Toolbox Early Childhood and NIH Toolbox.</text>
  </threadedComment>
  <threadedComment ref="F3" dT="2025-12-19T18:49:02.57" personId="{335C1F3F-6059-4007-9F3C-D68689AD5CA5}" id="{881BDBDD-58EE-4EB7-9CFB-6E4ED217AB48}" parentId="{0EA50559-DB7D-4443-91AF-DA920F061A62}">
    <text xml:space="preserve">Look in ECHO 2 for additional participants. </text>
  </threadedComment>
  <threadedComment ref="H3" dT="2025-12-22T15:23:24.20" personId="{335C1F3F-6059-4007-9F3C-D68689AD5CA5}" id="{FEC9705A-B1FE-44B6-ABD9-4E7362A7C5F4}">
    <text>Can have either SRS2 Preschool or School age</text>
  </threadedComment>
  <threadedComment ref="J3" dT="2025-12-19T18:25:40.58" personId="{335C1F3F-6059-4007-9F3C-D68689AD5CA5}" id="{494CDFA6-15AB-48E0-9969-E6EC47319F12}">
    <text>Breakdown into different visits</text>
  </threadedComment>
  <threadedComment ref="C6" dT="2026-01-08T04:28:03.50" personId="{F920A05B-C1A2-4A0A-8DA0-5FD516ED8EE3}" id="{C613ACB4-9957-4DDF-8DA8-B3676B8FF9E2}">
    <text>ARCH id &lt; 1407 have Thyroid data, ARCH &gt; 1476 have diet data</text>
  </threadedComment>
  <threadedComment ref="E6" dT="2026-01-10T16:54:11.20" personId="{F920A05B-C1A2-4A0A-8DA0-5FD516ED8EE3}" id="{0D3E6A17-DBA6-4FF1-8FCF-F84CCD46D39F}">
    <text>It will be 5 using new list</text>
  </threadedComment>
  <threadedComment ref="F6" dT="2026-01-14T22:55:50.65" personId="{F920A05B-C1A2-4A0A-8DA0-5FD516ED8EE3}" id="{E59D4C7A-76E0-4993-A8F0-637AF72864CD}">
    <text>From ECHO 2</text>
  </threadedComment>
  <threadedComment ref="J6" dT="2026-01-08T04:04:19.62" personId="{F920A05B-C1A2-4A0A-8DA0-5FD516ED8EE3}" id="{DFBC122D-8557-471F-8C33-6238CE9BCAE0}">
    <text>There are only asq48 and asq 54 for ARCH. There are around 4 participants in the survey answers</text>
  </threadedComment>
  <threadedComment ref="I12" dT="2025-12-19T18:41:14.40" personId="{335C1F3F-6059-4007-9F3C-D68689AD5CA5}" id="{8FF1FB42-C2E3-4767-935C-D6F632B03A1B}">
    <text>Not unique from Prenatal DSQ</text>
  </threadedComment>
  <threadedComment ref="I14" dT="2026-01-08T14:42:35.72" personId="{F920A05B-C1A2-4A0A-8DA0-5FD516ED8EE3}" id="{A4E66B24-FB40-4B68-866B-3874C2694E70}">
    <text>Concern about ASA ID</text>
  </threadedComment>
  <threadedComment ref="B19" dT="2025-12-19T18:22:35.27" personId="{335C1F3F-6059-4007-9F3C-D68689AD5CA5}" id="{A22430E8-B365-44BE-AD2D-CE2662E46D7B}">
    <text xml:space="preserve">Includes both DSQ and PhenX. Other elements for this aim do not need prenatal dairy intake to be eligible. </text>
  </threadedComment>
  <threadedComment ref="C19" dT="2025-12-19T18:44:44.22" personId="{335C1F3F-6059-4007-9F3C-D68689AD5CA5}" id="{A5676646-72F4-4323-8F4E-4872EC7300CD}">
    <text>Include dairy formula</text>
  </threadedComment>
  <threadedComment ref="E19" dT="2025-12-19T18:47:08.99" personId="{335C1F3F-6059-4007-9F3C-D68689AD5CA5}" id="{7ECA516E-E107-460D-96A9-37B07C3C5DF2}">
    <text>Look in ECHO 2 data for additional participants.</text>
  </threadedComment>
  <threadedComment ref="E19" dT="2026-01-14T23:07:28.96" personId="{F920A05B-C1A2-4A0A-8DA0-5FD516ED8EE3}" id="{CE000025-61F6-408B-A06B-A0ABA42FD139}" parentId="{7ECA516E-E107-460D-96A9-37B07C3C5DF2}">
    <text>BLOCK 1 survey was used</text>
  </threadedComment>
  <threadedComment ref="F19" dT="2025-12-19T18:24:54.45" personId="{335C1F3F-6059-4007-9F3C-D68689AD5CA5}" id="{77757546-F116-4ED7-A517-EB6E7762880D}">
    <text>Includes both NIH Toolbox Early Childhood and NIH Toolbox.</text>
  </threadedComment>
  <threadedComment ref="F19" dT="2025-12-19T18:48:53.70" personId="{335C1F3F-6059-4007-9F3C-D68689AD5CA5}" id="{E2861C97-A10C-4A57-A0AA-52A74D3902A1}" parentId="{77757546-F116-4ED7-A517-EB6E7762880D}">
    <text xml:space="preserve">Look in ECHO 2 for additional participants. </text>
  </threadedComment>
  <threadedComment ref="J19" dT="2025-12-19T18:25:40.58" personId="{335C1F3F-6059-4007-9F3C-D68689AD5CA5}" id="{0AC09688-1F08-4CA7-ADAF-AA851ED945D0}">
    <text>Breakdown into different ages</text>
  </threadedComment>
  <threadedComment ref="C22" dT="2025-12-19T18:55:03.47" personId="{335C1F3F-6059-4007-9F3C-D68689AD5CA5}" id="{A12B2FDE-2EB7-49B1-BA14-9AE486A95E3A}">
    <text>ARCH won’t have this element</text>
  </threadedComment>
  <threadedComment ref="D22" dT="2025-12-19T18:55:03.47" personId="{335C1F3F-6059-4007-9F3C-D68689AD5CA5}" id="{26CDEA20-9475-4ED3-A0A4-54D3FD1BE19C}">
    <text>ARCH won’t have this element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FD68-35C4-4399-B996-4B4B73AB4291}">
  <dimension ref="A1:U23"/>
  <sheetViews>
    <sheetView tabSelected="1" zoomScale="160" zoomScaleNormal="160" workbookViewId="0">
      <selection activeCell="F6" sqref="F6"/>
    </sheetView>
  </sheetViews>
  <sheetFormatPr defaultRowHeight="14.4" x14ac:dyDescent="0.3"/>
  <cols>
    <col min="2" max="2" width="14.88671875" customWidth="1"/>
    <col min="3" max="6" width="13.88671875" customWidth="1"/>
    <col min="7" max="11" width="14" customWidth="1"/>
    <col min="12" max="21" width="14.88671875" customWidth="1"/>
  </cols>
  <sheetData>
    <row r="1" spans="1:21" ht="29.4" customHeight="1" x14ac:dyDescent="0.3">
      <c r="A1" s="4" t="s">
        <v>0</v>
      </c>
      <c r="B1" s="36" t="s">
        <v>12</v>
      </c>
      <c r="C1" s="36"/>
      <c r="D1" s="36"/>
      <c r="E1" s="36"/>
      <c r="F1" s="36"/>
      <c r="G1" s="36"/>
      <c r="H1" s="36"/>
      <c r="I1" s="36"/>
      <c r="J1" s="36"/>
      <c r="K1" s="36"/>
      <c r="L1" s="36"/>
      <c r="M1" s="36"/>
      <c r="N1" s="36"/>
      <c r="O1" s="36"/>
      <c r="P1" s="36"/>
      <c r="Q1" s="1"/>
      <c r="R1" s="1"/>
      <c r="S1" s="1"/>
      <c r="T1" s="1"/>
      <c r="U1" s="1"/>
    </row>
    <row r="2" spans="1:21" x14ac:dyDescent="0.3">
      <c r="A2" s="11"/>
      <c r="B2" s="15" t="s">
        <v>18</v>
      </c>
      <c r="C2" s="23" t="s">
        <v>11</v>
      </c>
      <c r="D2" s="39"/>
      <c r="E2" s="24"/>
      <c r="F2" s="23" t="s">
        <v>25</v>
      </c>
      <c r="G2" s="39"/>
      <c r="H2" s="39"/>
      <c r="I2" s="39"/>
      <c r="J2" s="39"/>
      <c r="K2" s="24"/>
      <c r="L2" s="8"/>
    </row>
    <row r="3" spans="1:21" s="2" customFormat="1" ht="12.6" customHeight="1" x14ac:dyDescent="0.3">
      <c r="A3" s="10"/>
      <c r="B3" s="35" t="s">
        <v>23</v>
      </c>
      <c r="C3" s="35" t="s">
        <v>6</v>
      </c>
      <c r="D3" s="35" t="s">
        <v>7</v>
      </c>
      <c r="E3" s="35" t="s">
        <v>32</v>
      </c>
      <c r="F3" s="27" t="s">
        <v>8</v>
      </c>
      <c r="G3" s="7" t="s">
        <v>9</v>
      </c>
      <c r="H3" s="35" t="s">
        <v>10</v>
      </c>
      <c r="I3" s="35"/>
      <c r="J3" s="35" t="s">
        <v>16</v>
      </c>
      <c r="K3" s="35"/>
    </row>
    <row r="4" spans="1:21" s="2" customFormat="1" ht="13.8" customHeight="1" x14ac:dyDescent="0.3">
      <c r="A4" s="10"/>
      <c r="B4" s="35"/>
      <c r="C4" s="35"/>
      <c r="D4" s="35"/>
      <c r="E4" s="35"/>
      <c r="F4" s="28"/>
      <c r="G4" s="6" t="s">
        <v>26</v>
      </c>
      <c r="H4" s="6" t="s">
        <v>28</v>
      </c>
      <c r="I4" s="6" t="s">
        <v>29</v>
      </c>
      <c r="J4" s="6" t="s">
        <v>30</v>
      </c>
      <c r="K4" s="6" t="s">
        <v>31</v>
      </c>
    </row>
    <row r="5" spans="1:21" x14ac:dyDescent="0.3">
      <c r="A5" s="12" t="s">
        <v>1</v>
      </c>
      <c r="B5" s="13">
        <v>1027</v>
      </c>
      <c r="C5" s="13">
        <v>598</v>
      </c>
      <c r="D5" s="14">
        <v>133</v>
      </c>
      <c r="E5" s="17">
        <v>605</v>
      </c>
      <c r="F5" s="17">
        <v>118</v>
      </c>
      <c r="G5" s="17">
        <v>272</v>
      </c>
      <c r="H5" s="17">
        <v>438</v>
      </c>
      <c r="I5" s="17">
        <v>256</v>
      </c>
      <c r="J5" s="17">
        <v>277</v>
      </c>
      <c r="K5" s="17">
        <v>208</v>
      </c>
    </row>
    <row r="6" spans="1:21" x14ac:dyDescent="0.3">
      <c r="A6" s="12" t="s">
        <v>2</v>
      </c>
      <c r="B6" s="13">
        <v>409</v>
      </c>
      <c r="C6" s="13">
        <v>0</v>
      </c>
      <c r="D6" s="13">
        <v>90</v>
      </c>
      <c r="E6" s="21" t="s">
        <v>33</v>
      </c>
      <c r="F6" s="43">
        <v>17</v>
      </c>
      <c r="G6" s="20">
        <v>11</v>
      </c>
      <c r="H6" s="20">
        <v>8</v>
      </c>
      <c r="I6" s="20">
        <v>9</v>
      </c>
      <c r="J6" s="38" t="s">
        <v>27</v>
      </c>
      <c r="K6" s="38"/>
    </row>
    <row r="7" spans="1:21" x14ac:dyDescent="0.3">
      <c r="A7" s="12" t="s">
        <v>3</v>
      </c>
      <c r="B7" s="13">
        <f t="shared" ref="B7:G7" si="0">B5+B6</f>
        <v>1436</v>
      </c>
      <c r="C7" s="13">
        <f t="shared" si="0"/>
        <v>598</v>
      </c>
      <c r="D7" s="13">
        <f t="shared" si="0"/>
        <v>223</v>
      </c>
      <c r="E7" s="17">
        <v>605</v>
      </c>
      <c r="F7" s="13">
        <f t="shared" si="0"/>
        <v>135</v>
      </c>
      <c r="G7" s="13">
        <f t="shared" si="0"/>
        <v>283</v>
      </c>
      <c r="H7" s="13">
        <f>H5+H6</f>
        <v>446</v>
      </c>
      <c r="I7" s="13">
        <f>I5+I6</f>
        <v>265</v>
      </c>
      <c r="J7" s="13">
        <v>277</v>
      </c>
      <c r="K7" s="13">
        <v>208</v>
      </c>
    </row>
    <row r="8" spans="1:21" x14ac:dyDescent="0.3">
      <c r="A8" s="5"/>
    </row>
    <row r="10" spans="1:21" ht="29.4" customHeight="1" x14ac:dyDescent="0.3">
      <c r="A10" s="4" t="s">
        <v>4</v>
      </c>
      <c r="B10" s="37" t="s">
        <v>17</v>
      </c>
      <c r="C10" s="37"/>
      <c r="D10" s="37"/>
      <c r="E10" s="37"/>
      <c r="F10" s="37"/>
      <c r="G10" s="37"/>
      <c r="H10" s="37"/>
      <c r="I10" s="37"/>
      <c r="J10" s="37"/>
      <c r="K10" s="37"/>
      <c r="L10" s="37"/>
      <c r="M10" s="37"/>
      <c r="N10" s="37"/>
      <c r="O10" s="37"/>
      <c r="P10" s="37"/>
      <c r="Q10" s="1"/>
      <c r="R10" s="1"/>
      <c r="S10" s="1"/>
      <c r="T10" s="1"/>
      <c r="U10" s="1"/>
    </row>
    <row r="11" spans="1:21" x14ac:dyDescent="0.3">
      <c r="A11" s="16"/>
      <c r="B11" s="40" t="s">
        <v>14</v>
      </c>
      <c r="C11" s="41"/>
      <c r="D11" s="41"/>
      <c r="E11" s="41"/>
      <c r="F11" s="41"/>
      <c r="G11" s="41"/>
      <c r="H11" s="42"/>
      <c r="I11" s="40" t="s">
        <v>13</v>
      </c>
      <c r="J11" s="41"/>
      <c r="K11" s="41"/>
      <c r="L11" s="41"/>
      <c r="M11" s="41"/>
      <c r="N11" s="41"/>
      <c r="O11" s="42"/>
    </row>
    <row r="12" spans="1:21" s="1" customFormat="1" ht="16.2" customHeight="1" x14ac:dyDescent="0.3">
      <c r="A12" s="10"/>
      <c r="B12" s="22" t="s">
        <v>15</v>
      </c>
      <c r="C12" s="22" t="s">
        <v>8</v>
      </c>
      <c r="D12" s="9" t="s">
        <v>9</v>
      </c>
      <c r="E12" s="22" t="s">
        <v>10</v>
      </c>
      <c r="F12" s="22"/>
      <c r="G12" s="22" t="s">
        <v>16</v>
      </c>
      <c r="H12" s="22"/>
      <c r="I12" s="22" t="s">
        <v>15</v>
      </c>
      <c r="J12" s="22" t="s">
        <v>8</v>
      </c>
      <c r="K12" s="9" t="s">
        <v>9</v>
      </c>
      <c r="L12" s="22" t="s">
        <v>10</v>
      </c>
      <c r="M12" s="22"/>
      <c r="N12" s="22" t="s">
        <v>16</v>
      </c>
      <c r="O12" s="22"/>
    </row>
    <row r="13" spans="1:21" s="1" customFormat="1" ht="14.4" customHeight="1" x14ac:dyDescent="0.3">
      <c r="A13" s="10"/>
      <c r="B13" s="22"/>
      <c r="C13" s="22"/>
      <c r="D13" s="9" t="s">
        <v>26</v>
      </c>
      <c r="E13" s="9" t="s">
        <v>28</v>
      </c>
      <c r="F13" s="9" t="s">
        <v>29</v>
      </c>
      <c r="G13" s="9" t="s">
        <v>30</v>
      </c>
      <c r="H13" s="9" t="s">
        <v>31</v>
      </c>
      <c r="I13" s="22"/>
      <c r="J13" s="22"/>
      <c r="K13" s="9" t="s">
        <v>26</v>
      </c>
      <c r="L13" s="9" t="s">
        <v>28</v>
      </c>
      <c r="M13" s="9" t="s">
        <v>29</v>
      </c>
      <c r="N13" s="9" t="s">
        <v>30</v>
      </c>
      <c r="O13" s="9" t="s">
        <v>31</v>
      </c>
    </row>
    <row r="14" spans="1:21" x14ac:dyDescent="0.3">
      <c r="A14" s="12" t="s">
        <v>1</v>
      </c>
      <c r="B14" s="16">
        <v>1027</v>
      </c>
      <c r="C14" s="16">
        <v>123</v>
      </c>
      <c r="D14" s="16">
        <v>284</v>
      </c>
      <c r="E14" s="16">
        <v>473</v>
      </c>
      <c r="F14" s="16">
        <v>266</v>
      </c>
      <c r="G14" s="16">
        <v>392</v>
      </c>
      <c r="H14" s="16">
        <v>230</v>
      </c>
      <c r="I14" s="14">
        <v>131</v>
      </c>
      <c r="J14" s="16">
        <v>24</v>
      </c>
      <c r="K14" s="16">
        <v>30</v>
      </c>
      <c r="L14" s="16">
        <v>108</v>
      </c>
      <c r="M14" s="16">
        <v>28</v>
      </c>
      <c r="N14" s="16">
        <v>69</v>
      </c>
      <c r="O14" s="14">
        <v>85</v>
      </c>
    </row>
    <row r="15" spans="1:21" x14ac:dyDescent="0.3">
      <c r="A15" s="5"/>
    </row>
    <row r="17" spans="1:16" ht="29.4" customHeight="1" x14ac:dyDescent="0.3">
      <c r="A17" s="3" t="s">
        <v>5</v>
      </c>
      <c r="B17" s="36" t="s">
        <v>24</v>
      </c>
      <c r="C17" s="36"/>
      <c r="D17" s="36"/>
      <c r="E17" s="36"/>
      <c r="F17" s="36"/>
      <c r="G17" s="36"/>
      <c r="H17" s="36"/>
      <c r="I17" s="36"/>
      <c r="J17" s="36"/>
      <c r="K17" s="36"/>
      <c r="L17" s="36"/>
      <c r="M17" s="36"/>
      <c r="N17" s="36"/>
      <c r="O17" s="36"/>
      <c r="P17" s="36"/>
    </row>
    <row r="18" spans="1:16" x14ac:dyDescent="0.3">
      <c r="A18" s="16"/>
      <c r="B18" s="19" t="s">
        <v>18</v>
      </c>
      <c r="C18" s="30" t="s">
        <v>22</v>
      </c>
      <c r="D18" s="31"/>
      <c r="E18" s="32"/>
      <c r="F18" s="30" t="s">
        <v>25</v>
      </c>
      <c r="G18" s="31"/>
      <c r="H18" s="31"/>
      <c r="I18" s="31"/>
      <c r="J18" s="31"/>
      <c r="K18" s="32"/>
    </row>
    <row r="19" spans="1:16" s="2" customFormat="1" ht="29.4" customHeight="1" x14ac:dyDescent="0.3">
      <c r="A19" s="10"/>
      <c r="B19" s="29" t="s">
        <v>23</v>
      </c>
      <c r="C19" s="29" t="s">
        <v>19</v>
      </c>
      <c r="D19" s="29" t="s">
        <v>20</v>
      </c>
      <c r="E19" s="29" t="s">
        <v>21</v>
      </c>
      <c r="F19" s="33" t="s">
        <v>8</v>
      </c>
      <c r="G19" s="18" t="s">
        <v>9</v>
      </c>
      <c r="H19" s="29" t="s">
        <v>10</v>
      </c>
      <c r="I19" s="29"/>
      <c r="J19" s="29" t="s">
        <v>16</v>
      </c>
      <c r="K19" s="29"/>
    </row>
    <row r="20" spans="1:16" s="2" customFormat="1" ht="17.399999999999999" customHeight="1" x14ac:dyDescent="0.3">
      <c r="A20" s="10"/>
      <c r="B20" s="29"/>
      <c r="C20" s="29"/>
      <c r="D20" s="29"/>
      <c r="E20" s="29"/>
      <c r="F20" s="34"/>
      <c r="G20" s="18" t="s">
        <v>26</v>
      </c>
      <c r="H20" s="18" t="s">
        <v>28</v>
      </c>
      <c r="I20" s="18" t="s">
        <v>29</v>
      </c>
      <c r="J20" s="18" t="s">
        <v>30</v>
      </c>
      <c r="K20" s="18" t="s">
        <v>31</v>
      </c>
    </row>
    <row r="21" spans="1:16" x14ac:dyDescent="0.3">
      <c r="A21" s="12" t="s">
        <v>1</v>
      </c>
      <c r="B21" s="16">
        <v>1027</v>
      </c>
      <c r="C21" s="43">
        <v>75</v>
      </c>
      <c r="D21" s="14">
        <v>481</v>
      </c>
      <c r="E21" s="16">
        <v>104</v>
      </c>
      <c r="F21" s="16">
        <v>114</v>
      </c>
      <c r="G21" s="16">
        <v>266</v>
      </c>
      <c r="H21" s="16">
        <v>471</v>
      </c>
      <c r="I21" s="16">
        <v>250</v>
      </c>
      <c r="J21" s="16">
        <v>221</v>
      </c>
      <c r="K21" s="16">
        <v>204</v>
      </c>
    </row>
    <row r="22" spans="1:16" x14ac:dyDescent="0.3">
      <c r="A22" s="12" t="s">
        <v>2</v>
      </c>
      <c r="B22" s="16">
        <v>409</v>
      </c>
      <c r="C22" s="16">
        <v>0</v>
      </c>
      <c r="D22" s="16">
        <v>0</v>
      </c>
      <c r="E22" s="16">
        <v>81</v>
      </c>
      <c r="F22" s="16">
        <v>3</v>
      </c>
      <c r="G22" s="16">
        <v>81</v>
      </c>
      <c r="H22" s="16">
        <v>27</v>
      </c>
      <c r="I22" s="16">
        <v>60</v>
      </c>
      <c r="J22" s="25" t="s">
        <v>27</v>
      </c>
      <c r="K22" s="26"/>
    </row>
    <row r="23" spans="1:16" x14ac:dyDescent="0.3">
      <c r="A23" s="12" t="s">
        <v>3</v>
      </c>
      <c r="B23" s="16">
        <f>B21+B22</f>
        <v>1436</v>
      </c>
      <c r="C23" s="16">
        <v>75</v>
      </c>
      <c r="D23" s="16">
        <f>D21+D22</f>
        <v>481</v>
      </c>
      <c r="E23" s="16">
        <f>E21+E22</f>
        <v>185</v>
      </c>
      <c r="F23" s="16">
        <f>F21+F22</f>
        <v>117</v>
      </c>
      <c r="G23" s="16">
        <f>G21+G22</f>
        <v>347</v>
      </c>
      <c r="H23" s="17">
        <f t="shared" ref="H23:I23" si="1">H21+H22</f>
        <v>498</v>
      </c>
      <c r="I23" s="17">
        <f t="shared" si="1"/>
        <v>310</v>
      </c>
      <c r="J23" s="16">
        <v>221</v>
      </c>
      <c r="K23" s="16">
        <v>204</v>
      </c>
    </row>
  </sheetData>
  <mergeCells count="33">
    <mergeCell ref="C18:E18"/>
    <mergeCell ref="B17:P17"/>
    <mergeCell ref="H3:I3"/>
    <mergeCell ref="L12:M12"/>
    <mergeCell ref="J3:K3"/>
    <mergeCell ref="J6:K6"/>
    <mergeCell ref="I11:O11"/>
    <mergeCell ref="E12:F12"/>
    <mergeCell ref="G12:H12"/>
    <mergeCell ref="I12:I13"/>
    <mergeCell ref="E3:E4"/>
    <mergeCell ref="B11:H11"/>
    <mergeCell ref="D3:D4"/>
    <mergeCell ref="B3:B4"/>
    <mergeCell ref="C12:C13"/>
    <mergeCell ref="B1:P1"/>
    <mergeCell ref="B10:P10"/>
    <mergeCell ref="F2:K2"/>
    <mergeCell ref="C2:E2"/>
    <mergeCell ref="B12:B13"/>
    <mergeCell ref="J12:J13"/>
    <mergeCell ref="J22:K22"/>
    <mergeCell ref="N12:O12"/>
    <mergeCell ref="F3:F4"/>
    <mergeCell ref="B19:B20"/>
    <mergeCell ref="C19:C20"/>
    <mergeCell ref="D19:D20"/>
    <mergeCell ref="E19:E20"/>
    <mergeCell ref="H19:I19"/>
    <mergeCell ref="J19:K19"/>
    <mergeCell ref="F18:K18"/>
    <mergeCell ref="F19:F20"/>
    <mergeCell ref="C3:C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 Alexa</dc:creator>
  <cp:lastModifiedBy>Tian, Jiahe</cp:lastModifiedBy>
  <dcterms:created xsi:type="dcterms:W3CDTF">2025-12-19T18:20:20Z</dcterms:created>
  <dcterms:modified xsi:type="dcterms:W3CDTF">2026-01-15T16:45:48Z</dcterms:modified>
</cp:coreProperties>
</file>